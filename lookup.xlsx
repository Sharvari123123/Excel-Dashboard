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271B3098-1875-454D-82BA-EE2769AAE57A}" xr6:coauthVersionLast="47" xr6:coauthVersionMax="47" xr10:uidLastSave="{00000000-0000-0000-0000-000000000000}"/>
  <bookViews>
    <workbookView xWindow="-120" yWindow="-120" windowWidth="20730" windowHeight="11160" xr2:uid="{CB6289F4-E938-424E-B09F-2B62D2690C83}"/>
  </bookViews>
  <sheets>
    <sheet name="Xlookup" sheetId="1" r:id="rId1"/>
    <sheet name="vlookup" sheetId="2" r:id="rId2"/>
  </sheets>
  <definedNames>
    <definedName name="Employee_ID">Table1[Emp Id]</definedName>
    <definedName name="Employee_Name">Table1[Employee]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1" l="1"/>
  <c r="L14" i="1"/>
  <c r="L12" i="1"/>
  <c r="L10" i="1"/>
  <c r="L8" i="1"/>
  <c r="G17" i="2"/>
  <c r="G15" i="2"/>
  <c r="G14" i="2"/>
  <c r="G13" i="2"/>
  <c r="E15" i="2"/>
  <c r="E14" i="2"/>
  <c r="I6" i="2"/>
  <c r="I5" i="2"/>
  <c r="I4" i="2"/>
  <c r="I3" i="2"/>
  <c r="B16" i="1" a="1"/>
  <c r="B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<sst xmlns="http://schemas.openxmlformats.org/spreadsheetml/2006/main" count="96" uniqueCount="40">
  <si>
    <t>Emp Id</t>
  </si>
  <si>
    <t>Employee</t>
  </si>
  <si>
    <t>Department</t>
  </si>
  <si>
    <t>City</t>
  </si>
  <si>
    <t>Salary</t>
  </si>
  <si>
    <t>Rating</t>
  </si>
  <si>
    <t>E101</t>
  </si>
  <si>
    <t>E102</t>
  </si>
  <si>
    <t>E103</t>
  </si>
  <si>
    <t>E104</t>
  </si>
  <si>
    <t>E105</t>
  </si>
  <si>
    <t>E106</t>
  </si>
  <si>
    <t>E107</t>
  </si>
  <si>
    <t>E108</t>
  </si>
  <si>
    <t>Amit</t>
  </si>
  <si>
    <t>Priya</t>
  </si>
  <si>
    <t>Rahul</t>
  </si>
  <si>
    <t>Sneha</t>
  </si>
  <si>
    <t>Karan</t>
  </si>
  <si>
    <t>Neha</t>
  </si>
  <si>
    <t>Vikram</t>
  </si>
  <si>
    <t>Riya</t>
  </si>
  <si>
    <t>HR</t>
  </si>
  <si>
    <t>Finance</t>
  </si>
  <si>
    <t>IT</t>
  </si>
  <si>
    <t>Sales</t>
  </si>
  <si>
    <t>Pune</t>
  </si>
  <si>
    <t>Mumbai</t>
  </si>
  <si>
    <t>Delhi</t>
  </si>
  <si>
    <t>Hyderabad</t>
  </si>
  <si>
    <t>Employee Data search Area</t>
  </si>
  <si>
    <t>Employee Name</t>
  </si>
  <si>
    <t>A3</t>
  </si>
  <si>
    <t>Employee_Name</t>
  </si>
  <si>
    <t>Employee_ID</t>
  </si>
  <si>
    <t>Column1</t>
  </si>
  <si>
    <t>Column2</t>
  </si>
  <si>
    <t>index</t>
  </si>
  <si>
    <t>match</t>
  </si>
  <si>
    <t>index+match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</si>
</sst>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5A5A5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thin">
        <color indexed="64"/>
      </right>
      <top style="medium">
        <color rgb="FF0070C0"/>
      </top>
      <bottom style="thick">
        <color rgb="FF0070C0"/>
      </bottom>
      <diagonal/>
    </border>
    <border>
      <left style="thin">
        <color indexed="64"/>
      </left>
      <right style="thin">
        <color indexed="64"/>
      </right>
      <top style="medium">
        <color rgb="FF0070C0"/>
      </top>
      <bottom style="thick">
        <color rgb="FF0070C0"/>
      </bottom>
      <diagonal/>
    </border>
    <border>
      <left style="thin">
        <color indexed="64"/>
      </left>
      <right style="medium">
        <color rgb="FF0070C0"/>
      </right>
      <top style="medium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/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/>
      <bottom/>
      <diagonal/>
    </border>
    <border>
      <left style="thick">
        <color rgb="FF0070C0"/>
      </left>
      <right/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ck">
        <color rgb="FF0070C0"/>
      </right>
      <top/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/>
      <diagonal/>
    </border>
    <border>
      <left style="thick">
        <color rgb="FF0070C0"/>
      </left>
      <right style="thick">
        <color rgb="FF0070C0"/>
      </right>
      <top/>
      <bottom/>
      <diagonal/>
    </border>
    <border>
      <left/>
      <right style="thick">
        <color rgb="FF0070C0"/>
      </right>
      <top/>
      <bottom/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 style="thick">
        <color rgb="FF0070C0"/>
      </right>
      <top/>
      <bottom style="thick">
        <color rgb="FF0070C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1">
      <alignment horizontal="center"/>
    </xf>
    <xf numFmtId="0" fontId="3" fillId="4" borderId="20" applyNumberFormat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0" fillId="0" borderId="16" xfId="0" applyBorder="1"/>
    <xf numFmtId="0" fontId="0" fillId="0" borderId="15" xfId="0" applyBorder="1"/>
    <xf numFmtId="0" fontId="0" fillId="0" borderId="19" xfId="0" applyBorder="1"/>
    <xf numFmtId="0" fontId="0" fillId="0" borderId="6" xfId="0" applyBorder="1"/>
    <xf numFmtId="0" fontId="0" fillId="0" borderId="18" xfId="0" applyBorder="1"/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4" borderId="20" xfId="2"/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" xfId="1" applyBorder="1">
      <alignment horizontal="center"/>
    </xf>
    <xf numFmtId="0" fontId="1" fillId="0" borderId="3" xfId="1" applyBorder="1">
      <alignment horizontal="center"/>
    </xf>
    <xf numFmtId="0" fontId="1" fillId="0" borderId="4" xfId="1" applyBorder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3">
    <cellStyle name="Check Cell" xfId="2" builtinId="23"/>
    <cellStyle name="Normal" xfId="0" builtinId="0"/>
    <cellStyle name="Style 1" xfId="1" xr:uid="{0053D156-B98F-402C-90C9-A9BCEAC6F6FD}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19049</xdr:colOff>
      <xdr:row>4</xdr:row>
      <xdr:rowOff>114299</xdr:rowOff>
    </xdr:from>
    <xdr:to>
      <xdr:col>8</xdr:col>
      <xdr:colOff>581024</xdr:colOff>
      <xdr:row>6</xdr:row>
      <xdr:rowOff>151256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3BAE236E-8CB8-4907-48AF-85F4547AC0EC}"/>
            </a:ext>
          </a:extLst>
        </xdr:cNvPr>
        <xdr:cNvSpPr/>
      </xdr:nvSpPr>
      <xdr:spPr>
        <a:xfrm>
          <a:off x="5400674" y="923924"/>
          <a:ext cx="561975" cy="4560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1123950</xdr:colOff>
      <xdr:row>1</xdr:row>
      <xdr:rowOff>57150</xdr:rowOff>
    </xdr:from>
    <xdr:to>
      <xdr:col>7</xdr:col>
      <xdr:colOff>1457325</xdr:colOff>
      <xdr:row>1</xdr:row>
      <xdr:rowOff>161926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DEBB8125-C969-CA41-3E8D-FB4349991D6D}"/>
            </a:ext>
          </a:extLst>
        </xdr:cNvPr>
        <xdr:cNvSpPr/>
      </xdr:nvSpPr>
      <xdr:spPr>
        <a:xfrm>
          <a:off x="5391150" y="266700"/>
          <a:ext cx="333375" cy="104776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781BB-A2F0-4431-A7E6-8A9EF6BCE78C}" name="Table1" displayName="Table1" ref="A1:F9" totalsRowShown="0">
  <autoFilter ref="A1:F9" xr:uid="{4F0781BB-A2F0-4431-A7E6-8A9EF6BCE78C}"/>
  <tableColumns count="6">
    <tableColumn id="1" xr3:uid="{B7869074-AD1D-4E71-B8F8-0ADB24E7FA35}" name="Emp Id"/>
    <tableColumn id="2" xr3:uid="{BF328386-CFA7-4043-8B31-9E457E39770D}" name="Employee"/>
    <tableColumn id="3" xr3:uid="{219BC959-7C32-4BCF-BA10-96CC3895C053}" name="Department"/>
    <tableColumn id="4" xr3:uid="{00A8689D-AB7D-43CF-B40C-156FE004BD1D}" name="City"/>
    <tableColumn id="5" xr3:uid="{B603EDB3-063E-44A7-BC45-B39386E376E2}" name="Salary"/>
    <tableColumn id="6" xr3:uid="{BECF5F28-37C0-4E81-B0CE-99D0D9729420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AA595B-1423-4F93-9D35-0D0290E79EDE}" name="Table13" displayName="Table13" ref="A1:F9" totalsRowShown="0">
  <autoFilter ref="A1:F9" xr:uid="{71AA595B-1423-4F93-9D35-0D0290E79EDE}"/>
  <tableColumns count="6">
    <tableColumn id="1" xr3:uid="{011FCA5D-17E2-415C-9AB5-3F01B8A281C7}" name="Emp Id"/>
    <tableColumn id="2" xr3:uid="{2226AD98-85BE-406A-BE78-81184E7036B7}" name="Employee"/>
    <tableColumn id="3" xr3:uid="{A7D304CA-4E65-4C61-A40F-DB46B2616D7D}" name="Department"/>
    <tableColumn id="4" xr3:uid="{3C764180-655F-4124-9571-8E4DCCDCA0A9}" name="City"/>
    <tableColumn id="5" xr3:uid="{DD1641DE-4DB7-4AD8-A55C-56C3A9E0B928}" name="Salary"/>
    <tableColumn id="6" xr3:uid="{D0AABF0E-6912-406F-8190-35C7F55E8F8B}" name="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389C37-102A-477C-A058-245BB1762F30}" name="Table3" displayName="Table3" ref="H1:I6" totalsRowShown="0">
  <autoFilter ref="H1:I6" xr:uid="{C9389C37-102A-477C-A058-245BB1762F30}"/>
  <tableColumns count="2">
    <tableColumn id="1" xr3:uid="{2D1060D8-CE7F-4528-B1E0-617A26145E8A}" name="Column1"/>
    <tableColumn id="2" xr3:uid="{AC471E84-8AA9-4AD9-9F36-2EB82ECF7B46}" name="Column2" dataDxfId="0">
      <calculatedColumnFormula>VLOOKUP(I1,Table13[],2,FALSE)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E2F1D-18D8-4A6E-AFBB-08D6592B616F}">
  <dimension ref="A1:P17"/>
  <sheetViews>
    <sheetView tabSelected="1" workbookViewId="0">
      <selection activeCell="J5" sqref="J5:M7"/>
    </sheetView>
  </sheetViews>
  <sheetFormatPr defaultRowHeight="15" x14ac:dyDescent="0.25"/>
  <cols>
    <col min="2" max="2" width="12" customWidth="1"/>
    <col min="3" max="3" width="13.85546875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9" t="s">
        <v>30</v>
      </c>
      <c r="J1" s="20"/>
      <c r="K1" s="20"/>
      <c r="L1" s="20"/>
      <c r="M1" s="21"/>
      <c r="O1" s="2"/>
      <c r="P1" s="2"/>
    </row>
    <row r="2" spans="1:16" ht="16.5" thickTop="1" thickBot="1" x14ac:dyDescent="0.3">
      <c r="A2" t="s">
        <v>6</v>
      </c>
      <c r="B2" t="s">
        <v>14</v>
      </c>
      <c r="C2" t="s">
        <v>24</v>
      </c>
      <c r="D2" t="s">
        <v>26</v>
      </c>
      <c r="E2">
        <v>30000</v>
      </c>
      <c r="F2">
        <v>4.5</v>
      </c>
      <c r="I2" s="22"/>
      <c r="J2" s="23"/>
      <c r="K2" s="23"/>
      <c r="L2" s="23"/>
      <c r="M2" s="23"/>
      <c r="N2" s="3"/>
      <c r="O2" s="6"/>
    </row>
    <row r="3" spans="1:16" ht="15.75" thickTop="1" x14ac:dyDescent="0.25">
      <c r="A3" t="s">
        <v>7</v>
      </c>
      <c r="B3" t="s">
        <v>15</v>
      </c>
      <c r="C3" t="s">
        <v>22</v>
      </c>
      <c r="D3" t="s">
        <v>27</v>
      </c>
      <c r="E3">
        <v>45000</v>
      </c>
      <c r="F3">
        <v>4.8</v>
      </c>
      <c r="I3" s="24" t="s">
        <v>34</v>
      </c>
      <c r="J3" s="25"/>
      <c r="K3" s="26"/>
      <c r="L3" s="16"/>
      <c r="M3" s="30"/>
      <c r="N3" s="16"/>
      <c r="O3" s="16"/>
    </row>
    <row r="4" spans="1:16" ht="15.75" thickBot="1" x14ac:dyDescent="0.3">
      <c r="A4" t="s">
        <v>8</v>
      </c>
      <c r="B4" t="s">
        <v>16</v>
      </c>
      <c r="C4" t="s">
        <v>25</v>
      </c>
      <c r="D4" t="s">
        <v>28</v>
      </c>
      <c r="E4">
        <v>28000</v>
      </c>
      <c r="F4">
        <v>4</v>
      </c>
      <c r="I4" s="27"/>
      <c r="J4" s="28"/>
      <c r="K4" s="29"/>
      <c r="L4" s="17"/>
      <c r="M4" s="31"/>
      <c r="N4" s="17"/>
      <c r="O4" s="18"/>
    </row>
    <row r="5" spans="1:16" ht="16.5" thickTop="1" thickBot="1" x14ac:dyDescent="0.3">
      <c r="A5" t="s">
        <v>9</v>
      </c>
      <c r="B5" t="s">
        <v>17</v>
      </c>
      <c r="C5" t="s">
        <v>23</v>
      </c>
      <c r="D5" t="s">
        <v>26</v>
      </c>
      <c r="E5">
        <v>50000</v>
      </c>
      <c r="F5">
        <v>4.9000000000000004</v>
      </c>
      <c r="H5" s="1"/>
      <c r="I5" s="36"/>
      <c r="J5" s="38" t="s">
        <v>8</v>
      </c>
      <c r="K5" s="39"/>
      <c r="L5" s="39"/>
      <c r="M5" s="40"/>
      <c r="N5" s="6"/>
      <c r="O5" s="6"/>
    </row>
    <row r="6" spans="1:16" ht="16.5" thickTop="1" thickBot="1" x14ac:dyDescent="0.3">
      <c r="A6" t="s">
        <v>10</v>
      </c>
      <c r="B6" t="s">
        <v>18</v>
      </c>
      <c r="C6" t="s">
        <v>25</v>
      </c>
      <c r="D6" t="s">
        <v>29</v>
      </c>
      <c r="E6">
        <v>35000</v>
      </c>
      <c r="F6">
        <v>4.2</v>
      </c>
      <c r="I6" s="37"/>
      <c r="J6" s="41"/>
      <c r="K6" s="42"/>
      <c r="L6" s="42"/>
      <c r="M6" s="43"/>
      <c r="N6" s="7"/>
      <c r="O6" s="7"/>
    </row>
    <row r="7" spans="1:16" ht="16.5" thickTop="1" thickBot="1" x14ac:dyDescent="0.3">
      <c r="A7" t="s">
        <v>11</v>
      </c>
      <c r="B7" t="s">
        <v>19</v>
      </c>
      <c r="C7" t="s">
        <v>24</v>
      </c>
      <c r="D7" t="s">
        <v>26</v>
      </c>
      <c r="E7">
        <v>38000</v>
      </c>
      <c r="F7">
        <v>4.5999999999999996</v>
      </c>
      <c r="I7" s="33"/>
      <c r="J7" s="44"/>
      <c r="K7" s="45"/>
      <c r="L7" s="45"/>
      <c r="M7" s="46"/>
      <c r="N7" s="6"/>
      <c r="O7" s="6"/>
      <c r="P7" s="2"/>
    </row>
    <row r="8" spans="1:16" ht="16.5" thickTop="1" thickBot="1" x14ac:dyDescent="0.3">
      <c r="A8" t="s">
        <v>12</v>
      </c>
      <c r="B8" t="s">
        <v>20</v>
      </c>
      <c r="C8" t="s">
        <v>24</v>
      </c>
      <c r="D8" t="s">
        <v>27</v>
      </c>
      <c r="E8">
        <v>42000</v>
      </c>
      <c r="F8">
        <v>4.7</v>
      </c>
      <c r="I8" s="36" t="s">
        <v>31</v>
      </c>
      <c r="J8" s="30"/>
      <c r="K8" s="47"/>
      <c r="L8" s="24" t="str">
        <f>IFERROR(
    _xlfn.XLOOKUP(J5,Table1[Emp Id],Table1[Employee],,0),
    _xlfn.XLOOKUP(J5,Table1[Employee],Table1[Employee],"Data Not Found!",0)
)</f>
        <v>Rahul</v>
      </c>
      <c r="M8" s="25"/>
      <c r="N8" s="26"/>
      <c r="O8" s="14"/>
    </row>
    <row r="9" spans="1:16" ht="16.5" thickTop="1" thickBot="1" x14ac:dyDescent="0.3">
      <c r="A9" t="s">
        <v>13</v>
      </c>
      <c r="B9" t="s">
        <v>21</v>
      </c>
      <c r="C9" t="s">
        <v>22</v>
      </c>
      <c r="D9" t="s">
        <v>28</v>
      </c>
      <c r="E9">
        <v>26000</v>
      </c>
      <c r="F9">
        <v>3.9</v>
      </c>
      <c r="I9" s="8"/>
      <c r="J9" s="8"/>
      <c r="K9" s="8"/>
      <c r="L9" s="3"/>
      <c r="M9" s="3"/>
      <c r="N9" s="5"/>
      <c r="O9" s="5"/>
      <c r="P9" s="2"/>
    </row>
    <row r="10" spans="1:16" ht="16.5" thickTop="1" thickBot="1" x14ac:dyDescent="0.3">
      <c r="I10" s="36" t="s">
        <v>2</v>
      </c>
      <c r="J10" s="30"/>
      <c r="K10" s="47"/>
      <c r="L10" s="48" t="str">
        <f>IFERROR(
    _xlfn.XLOOKUP(J5,Table1[Emp Id],Table1[Department],,0),
    _xlfn.XLOOKUP(J5,Table1[Employee],Table1[Department],"Data Not Found!",0)
)</f>
        <v>Sales</v>
      </c>
      <c r="M10" s="49"/>
      <c r="N10" s="49"/>
      <c r="O10" s="13"/>
      <c r="P10" s="2"/>
    </row>
    <row r="11" spans="1:16" ht="16.5" thickTop="1" thickBot="1" x14ac:dyDescent="0.3">
      <c r="I11" s="8"/>
      <c r="J11" s="8"/>
      <c r="K11" s="8"/>
      <c r="L11" s="9"/>
      <c r="M11" s="9"/>
      <c r="N11" s="9"/>
      <c r="O11" s="9"/>
      <c r="P11" s="2"/>
    </row>
    <row r="12" spans="1:16" ht="16.5" thickTop="1" thickBot="1" x14ac:dyDescent="0.3">
      <c r="I12" s="22" t="s">
        <v>3</v>
      </c>
      <c r="J12" s="23"/>
      <c r="K12" s="32"/>
      <c r="L12" s="24" t="str">
        <f>IFERROR(
    _xlfn.XLOOKUP(J5,Table1[Emp Id],Table1[City],,0),
    _xlfn.XLOOKUP(J5,Table1[Employee],Table1[City],"Data Not Found!",0)
)</f>
        <v>Delhi</v>
      </c>
      <c r="M12" s="25"/>
      <c r="N12" s="25"/>
      <c r="O12" s="13"/>
      <c r="P12" s="2"/>
    </row>
    <row r="13" spans="1:16" ht="16.5" thickTop="1" thickBot="1" x14ac:dyDescent="0.3">
      <c r="I13" s="5"/>
      <c r="J13" s="5"/>
      <c r="K13" s="6"/>
      <c r="L13" s="5"/>
      <c r="M13" s="6"/>
      <c r="N13" s="6"/>
      <c r="O13" s="10"/>
      <c r="P13" s="2"/>
    </row>
    <row r="14" spans="1:16" ht="16.5" thickTop="1" thickBot="1" x14ac:dyDescent="0.3">
      <c r="I14" s="22" t="s">
        <v>4</v>
      </c>
      <c r="J14" s="23"/>
      <c r="K14" s="32"/>
      <c r="L14" s="24">
        <f>IFERROR(
    _xlfn.XLOOKUP(J5,Table1[Emp Id],Table1[Salary],,0),
    _xlfn.XLOOKUP(J5,Table1[Employee],Table1[Salary],"Data Not Found!",0)
)</f>
        <v>28000</v>
      </c>
      <c r="M14" s="25"/>
      <c r="N14" s="25"/>
      <c r="O14" s="13"/>
      <c r="P14" s="2"/>
    </row>
    <row r="15" spans="1:16" ht="16.5" thickTop="1" thickBot="1" x14ac:dyDescent="0.3">
      <c r="B15" t="s">
        <v>32</v>
      </c>
      <c r="I15" s="6"/>
      <c r="J15" s="11"/>
      <c r="K15" s="11"/>
      <c r="L15" s="5"/>
      <c r="M15" s="6"/>
      <c r="N15" s="6"/>
      <c r="O15" s="11"/>
    </row>
    <row r="16" spans="1:16" ht="16.5" thickTop="1" thickBot="1" x14ac:dyDescent="0.3">
      <c r="B16" t="str" cm="1">
        <f t="array" aca="1" ref="B16" ca="1">INDIRECT(B15)</f>
        <v>E102</v>
      </c>
      <c r="I16" s="33" t="s">
        <v>5</v>
      </c>
      <c r="J16" s="34"/>
      <c r="K16" s="35"/>
      <c r="L16" s="24">
        <f>IFERROR(
    _xlfn.XLOOKUP(J5,Table1[Emp Id],Table1[Rating],,0),
    _xlfn.XLOOKUP(J5,Table1[Employee],Table1[Rating],"Data Not Found!",0)
)</f>
        <v>4</v>
      </c>
      <c r="M16" s="25"/>
      <c r="N16" s="25"/>
      <c r="O16" s="12"/>
      <c r="P16" s="2"/>
    </row>
    <row r="17" spans="11:15" ht="15.75" thickTop="1" x14ac:dyDescent="0.25">
      <c r="K17" s="4"/>
      <c r="L17" s="4"/>
      <c r="M17" s="4"/>
      <c r="N17" s="4"/>
      <c r="O17" s="4"/>
    </row>
  </sheetData>
  <dataConsolidate>
    <dataRefs count="1">
      <dataRef name="$A$1,$B$1"/>
    </dataRefs>
  </dataConsolidate>
  <mergeCells count="19">
    <mergeCell ref="I12:K12"/>
    <mergeCell ref="I14:K14"/>
    <mergeCell ref="I16:K16"/>
    <mergeCell ref="I5:I7"/>
    <mergeCell ref="J5:M7"/>
    <mergeCell ref="I8:K8"/>
    <mergeCell ref="I10:K10"/>
    <mergeCell ref="L8:N8"/>
    <mergeCell ref="L10:N10"/>
    <mergeCell ref="L12:N12"/>
    <mergeCell ref="L14:N14"/>
    <mergeCell ref="L16:N16"/>
    <mergeCell ref="N3:N4"/>
    <mergeCell ref="O3:O4"/>
    <mergeCell ref="I1:M1"/>
    <mergeCell ref="I2:M2"/>
    <mergeCell ref="I3:K4"/>
    <mergeCell ref="L3:L4"/>
    <mergeCell ref="M3:M4"/>
  </mergeCells>
  <phoneticPr fontId="2" type="noConversion"/>
  <dataValidations count="2">
    <dataValidation type="list" allowBlank="1" showInputMessage="1" showErrorMessage="1" sqref="I3:K4" xr:uid="{C15B0104-F3C3-4085-BDAF-7035414C7C22}">
      <formula1>"Employee_ID,Employee_Name"</formula1>
    </dataValidation>
    <dataValidation type="list" allowBlank="1" showInputMessage="1" showErrorMessage="1" sqref="J5:M7" xr:uid="{224CD151-A019-45CA-A301-6FFE97E233B4}">
      <formula1>INDIRECT(SUBSTITUTE($I$3," ","_"))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AA97E-CE1E-45BF-946D-F6F23FD15B20}">
  <dimension ref="A1:I17"/>
  <sheetViews>
    <sheetView workbookViewId="0">
      <selection activeCell="G18" sqref="G18"/>
    </sheetView>
  </sheetViews>
  <sheetFormatPr defaultRowHeight="15" x14ac:dyDescent="0.25"/>
  <cols>
    <col min="6" max="6" width="12.42578125" bestFit="1" customWidth="1"/>
    <col min="8" max="8" width="22.7109375" customWidth="1"/>
    <col min="9" max="9" width="11" customWidth="1"/>
  </cols>
  <sheetData>
    <row r="1" spans="1:9" ht="16.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35</v>
      </c>
      <c r="I1" s="15" t="s">
        <v>36</v>
      </c>
    </row>
    <row r="2" spans="1:9" ht="16.5" thickTop="1" thickBot="1" x14ac:dyDescent="0.3">
      <c r="A2" t="s">
        <v>6</v>
      </c>
      <c r="B2" t="s">
        <v>14</v>
      </c>
      <c r="C2" t="s">
        <v>24</v>
      </c>
      <c r="D2" t="s">
        <v>26</v>
      </c>
      <c r="E2">
        <v>30000</v>
      </c>
      <c r="F2">
        <v>4.5</v>
      </c>
      <c r="H2" t="s">
        <v>34</v>
      </c>
      <c r="I2" s="15" t="s">
        <v>11</v>
      </c>
    </row>
    <row r="3" spans="1:9" ht="15.75" thickTop="1" x14ac:dyDescent="0.25">
      <c r="A3" t="s">
        <v>7</v>
      </c>
      <c r="B3" t="s">
        <v>15</v>
      </c>
      <c r="C3" t="s">
        <v>22</v>
      </c>
      <c r="D3" t="s">
        <v>27</v>
      </c>
      <c r="E3">
        <v>45000</v>
      </c>
      <c r="F3">
        <v>4.8</v>
      </c>
      <c r="H3" t="s">
        <v>33</v>
      </c>
      <c r="I3" t="str">
        <f>VLOOKUP(I2,Table13[],2,FALSE)</f>
        <v>Neha</v>
      </c>
    </row>
    <row r="4" spans="1:9" x14ac:dyDescent="0.25">
      <c r="A4" t="s">
        <v>8</v>
      </c>
      <c r="B4" t="s">
        <v>16</v>
      </c>
      <c r="C4" t="s">
        <v>25</v>
      </c>
      <c r="D4" t="s">
        <v>28</v>
      </c>
      <c r="E4">
        <v>28000</v>
      </c>
      <c r="F4">
        <v>4</v>
      </c>
      <c r="H4" t="s">
        <v>3</v>
      </c>
      <c r="I4" t="str">
        <f>VLOOKUP(I2,Table13[],4,FALSE)</f>
        <v>Pune</v>
      </c>
    </row>
    <row r="5" spans="1:9" x14ac:dyDescent="0.25">
      <c r="A5" t="s">
        <v>9</v>
      </c>
      <c r="B5" t="s">
        <v>17</v>
      </c>
      <c r="C5" t="s">
        <v>23</v>
      </c>
      <c r="D5" t="s">
        <v>26</v>
      </c>
      <c r="E5">
        <v>50000</v>
      </c>
      <c r="F5">
        <v>4.9000000000000004</v>
      </c>
      <c r="H5" t="s">
        <v>4</v>
      </c>
      <c r="I5">
        <f>VLOOKUP(I2,Table13[],5,FALSE)</f>
        <v>38000</v>
      </c>
    </row>
    <row r="6" spans="1:9" x14ac:dyDescent="0.25">
      <c r="A6" t="s">
        <v>10</v>
      </c>
      <c r="B6" t="s">
        <v>18</v>
      </c>
      <c r="C6" t="s">
        <v>25</v>
      </c>
      <c r="D6" t="s">
        <v>29</v>
      </c>
      <c r="E6">
        <v>35000</v>
      </c>
      <c r="F6">
        <v>4.2</v>
      </c>
      <c r="H6" t="s">
        <v>5</v>
      </c>
      <c r="I6">
        <f>VLOOKUP(I2,Table13[],6,FALSE)</f>
        <v>4.5999999999999996</v>
      </c>
    </row>
    <row r="7" spans="1:9" x14ac:dyDescent="0.25">
      <c r="A7" t="s">
        <v>11</v>
      </c>
      <c r="B7" t="s">
        <v>19</v>
      </c>
      <c r="C7" t="s">
        <v>24</v>
      </c>
      <c r="D7" t="s">
        <v>26</v>
      </c>
      <c r="E7">
        <v>38000</v>
      </c>
      <c r="F7">
        <v>4.5999999999999996</v>
      </c>
    </row>
    <row r="8" spans="1:9" x14ac:dyDescent="0.25">
      <c r="A8" t="s">
        <v>12</v>
      </c>
      <c r="B8" t="s">
        <v>20</v>
      </c>
      <c r="C8" t="s">
        <v>24</v>
      </c>
      <c r="D8" t="s">
        <v>27</v>
      </c>
      <c r="E8">
        <v>42000</v>
      </c>
      <c r="F8">
        <v>4.7</v>
      </c>
    </row>
    <row r="9" spans="1:9" x14ac:dyDescent="0.25">
      <c r="A9" t="s">
        <v>13</v>
      </c>
      <c r="B9" t="s">
        <v>21</v>
      </c>
      <c r="C9" t="s">
        <v>22</v>
      </c>
      <c r="D9" t="s">
        <v>28</v>
      </c>
      <c r="E9">
        <v>26000</v>
      </c>
      <c r="F9">
        <v>3.9</v>
      </c>
    </row>
    <row r="13" spans="1:9" x14ac:dyDescent="0.25">
      <c r="F13" t="s">
        <v>39</v>
      </c>
      <c r="G13">
        <f>INDEX(Table13[Salary],MATCH("Sneha",Table13[Employee],0))</f>
        <v>50000</v>
      </c>
    </row>
    <row r="14" spans="1:9" x14ac:dyDescent="0.25">
      <c r="E14">
        <f>INDEX(Table13[],4,5)</f>
        <v>50000</v>
      </c>
      <c r="F14" t="s">
        <v>37</v>
      </c>
      <c r="G14" t="str">
        <f>INDEX(Table13[#All],6,4)</f>
        <v>Hyderabad</v>
      </c>
    </row>
    <row r="15" spans="1:9" x14ac:dyDescent="0.25">
      <c r="E15">
        <f>INDEX(Table13[Salary],MATCH("E104",Table13[Emp Id],0))</f>
        <v>50000</v>
      </c>
      <c r="F15" t="s">
        <v>38</v>
      </c>
      <c r="G15">
        <f>MATCH("Amit",Table13[Employee],0)</f>
        <v>1</v>
      </c>
    </row>
    <row r="17" spans="7:7" x14ac:dyDescent="0.25">
      <c r="G17">
        <f>MATCH("E101",Table13[Emp Id],0)</f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Xlookup</vt:lpstr>
      <vt:lpstr>vlookup</vt:lpstr>
      <vt:lpstr>Employee_ID</vt:lpstr>
      <vt:lpstr>Employee_Name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Sharvari_17@outlook.com</dc:creator>
  <cp:lastModifiedBy>Sharvari_17@outlook.com</cp:lastModifiedBy>
  <dcterms:created xsi:type="dcterms:W3CDTF">2026-07-18T12:39:01Z</dcterms:created>
  <dcterms:modified xsi:type="dcterms:W3CDTF">2026-07-21T12:40:39Z</dcterms:modified>
</cp:coreProperties>
</file>